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szs\Desktop\proj\"/>
    </mc:Choice>
  </mc:AlternateContent>
  <xr:revisionPtr revIDLastSave="0" documentId="13_ncr:1_{D04B93A6-F886-4691-AA26-19B00B3D8F5C}" xr6:coauthVersionLast="47" xr6:coauthVersionMax="47" xr10:uidLastSave="{00000000-0000-0000-0000-000000000000}"/>
  <bookViews>
    <workbookView xWindow="-120" yWindow="-120" windowWidth="29040" windowHeight="15840" xr2:uid="{32803602-BA7A-46AC-9760-E35C89B9265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N5" i="1"/>
  <c r="N4" i="1"/>
  <c r="N3" i="1"/>
  <c r="N2" i="1"/>
  <c r="J4" i="1"/>
  <c r="G9" i="1"/>
  <c r="G8" i="1"/>
  <c r="J3" i="1"/>
  <c r="E8" i="1"/>
  <c r="E7" i="1"/>
  <c r="G4" i="1"/>
  <c r="E4" i="1"/>
</calcChain>
</file>

<file path=xl/sharedStrings.xml><?xml version="1.0" encoding="utf-8"?>
<sst xmlns="http://schemas.openxmlformats.org/spreadsheetml/2006/main" count="24" uniqueCount="24">
  <si>
    <t>Vin_min</t>
  </si>
  <si>
    <t>Vin_max</t>
  </si>
  <si>
    <t>Vin_nom</t>
  </si>
  <si>
    <t>Vripple[%]</t>
  </si>
  <si>
    <t>Iripple[%]</t>
  </si>
  <si>
    <t>Vripple[V]</t>
  </si>
  <si>
    <t>Vout[V]</t>
  </si>
  <si>
    <t>Iripple[A]</t>
  </si>
  <si>
    <t>fsw[Hz]</t>
  </si>
  <si>
    <t>Dmax</t>
  </si>
  <si>
    <t>C[uF]</t>
  </si>
  <si>
    <t>ESR[mOhm]</t>
  </si>
  <si>
    <t>L[uH]</t>
  </si>
  <si>
    <t>effic</t>
  </si>
  <si>
    <t>C</t>
  </si>
  <si>
    <t>Iin[A]</t>
  </si>
  <si>
    <t>Iout[A]</t>
  </si>
  <si>
    <t>Rc</t>
  </si>
  <si>
    <t>Rl</t>
  </si>
  <si>
    <t>L</t>
  </si>
  <si>
    <t>Ciss</t>
  </si>
  <si>
    <t>Qg</t>
  </si>
  <si>
    <t>Qgs</t>
  </si>
  <si>
    <t>Qgd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</si>
</sst>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650A-6ABB-49BE-86D3-14E6BAD04ED2}">
  <dimension ref="B2:N9"/>
  <sheetViews>
    <sheetView tabSelected="1" workbookViewId="0">
      <selection activeCell="J2" sqref="J2"/>
    </sheetView>
  </sheetViews>
  <sheetFormatPr defaultRowHeight="15" x14ac:dyDescent="0.25"/>
  <cols>
    <col min="4" max="4" width="11.28515625" customWidth="1"/>
    <col min="6" max="6" width="10.7109375" customWidth="1"/>
    <col min="7" max="7" width="12" bestFit="1" customWidth="1"/>
    <col min="9" max="9" width="12.28515625" customWidth="1"/>
    <col min="10" max="10" width="10" bestFit="1" customWidth="1"/>
    <col min="14" max="14" width="12" bestFit="1" customWidth="1"/>
  </cols>
  <sheetData>
    <row r="2" spans="2:14" x14ac:dyDescent="0.25">
      <c r="B2" s="1" t="s">
        <v>2</v>
      </c>
      <c r="C2" s="1">
        <v>10</v>
      </c>
      <c r="D2" s="1" t="s">
        <v>6</v>
      </c>
      <c r="E2" s="1">
        <v>20</v>
      </c>
      <c r="F2" s="1" t="s">
        <v>16</v>
      </c>
      <c r="G2" s="1">
        <v>2</v>
      </c>
      <c r="H2" s="1"/>
      <c r="I2" s="2" t="s">
        <v>12</v>
      </c>
      <c r="J2" s="2">
        <f>C3*C8/(C7*G4)*1000000</f>
        <v>60</v>
      </c>
      <c r="M2" t="s">
        <v>20</v>
      </c>
      <c r="N2" s="4">
        <f>1800*0.00000000001</f>
        <v>1.7999999999999999E-8</v>
      </c>
    </row>
    <row r="3" spans="2:14" x14ac:dyDescent="0.25">
      <c r="B3" s="1" t="s">
        <v>1</v>
      </c>
      <c r="C3" s="1">
        <v>12</v>
      </c>
      <c r="D3" s="1" t="s">
        <v>3</v>
      </c>
      <c r="E3" s="1">
        <v>1</v>
      </c>
      <c r="F3" s="1" t="s">
        <v>4</v>
      </c>
      <c r="G3" s="1">
        <v>20</v>
      </c>
      <c r="H3" s="1"/>
      <c r="I3" s="2" t="s">
        <v>10</v>
      </c>
      <c r="J3" s="2">
        <f>G2*C8/(C7*E4)*1000000</f>
        <v>20</v>
      </c>
      <c r="M3" t="s">
        <v>21</v>
      </c>
      <c r="N3">
        <f>60*0.00000001</f>
        <v>5.9999999999999997E-7</v>
      </c>
    </row>
    <row r="4" spans="2:14" x14ac:dyDescent="0.25">
      <c r="B4" s="1" t="s">
        <v>0</v>
      </c>
      <c r="C4" s="1">
        <v>8</v>
      </c>
      <c r="D4" s="1" t="s">
        <v>5</v>
      </c>
      <c r="E4" s="1">
        <f>E2*E3/100</f>
        <v>0.2</v>
      </c>
      <c r="F4" s="1" t="s">
        <v>7</v>
      </c>
      <c r="G4" s="1">
        <f>G2*G3/100</f>
        <v>0.4</v>
      </c>
      <c r="H4" s="1"/>
      <c r="I4" s="2" t="s">
        <v>11</v>
      </c>
      <c r="J4" s="3">
        <f>E4/((G2/(1-C8))+(G4/2)) * 1000</f>
        <v>47.619047619047613</v>
      </c>
      <c r="M4" t="s">
        <v>22</v>
      </c>
      <c r="N4">
        <f>10.5*0.00000001</f>
        <v>1.05E-7</v>
      </c>
    </row>
    <row r="5" spans="2:14" x14ac:dyDescent="0.25">
      <c r="B5" s="1" t="s">
        <v>13</v>
      </c>
      <c r="C5" s="1">
        <v>0.8</v>
      </c>
      <c r="D5" s="1"/>
      <c r="E5" s="1"/>
      <c r="F5" s="1" t="s">
        <v>15</v>
      </c>
      <c r="G5" s="1">
        <v>4</v>
      </c>
      <c r="H5" s="1"/>
      <c r="I5" s="2"/>
      <c r="J5" s="2"/>
      <c r="M5" t="s">
        <v>23</v>
      </c>
      <c r="N5">
        <f>17.5*0.00000001</f>
        <v>1.7499999999999999E-7</v>
      </c>
    </row>
    <row r="6" spans="2:14" x14ac:dyDescent="0.25">
      <c r="D6" s="1"/>
      <c r="E6" s="1"/>
      <c r="F6" s="1"/>
      <c r="G6" s="1"/>
      <c r="H6" s="1"/>
      <c r="I6" s="2"/>
      <c r="J6" s="2"/>
    </row>
    <row r="7" spans="2:14" x14ac:dyDescent="0.25">
      <c r="B7" s="1" t="s">
        <v>8</v>
      </c>
      <c r="C7" s="1">
        <v>250000</v>
      </c>
      <c r="D7" s="1" t="s">
        <v>17</v>
      </c>
      <c r="E7" s="1">
        <f>E4/(2*E2)</f>
        <v>5.0000000000000001E-3</v>
      </c>
      <c r="F7" s="1"/>
      <c r="G7" s="1"/>
      <c r="H7" s="1"/>
      <c r="I7" s="1"/>
      <c r="J7" s="1"/>
    </row>
    <row r="8" spans="2:14" x14ac:dyDescent="0.25">
      <c r="B8" s="1" t="s">
        <v>9</v>
      </c>
      <c r="C8" s="1">
        <v>0.5</v>
      </c>
      <c r="D8" s="1" t="s">
        <v>18</v>
      </c>
      <c r="E8" s="1">
        <f>G4/(2*G2)</f>
        <v>0.1</v>
      </c>
      <c r="F8" s="1" t="s">
        <v>14</v>
      </c>
      <c r="G8" s="1">
        <f>C8*(1-C8) * (1/C7)*G5/ E4 * 1000000</f>
        <v>20</v>
      </c>
      <c r="H8" s="1"/>
      <c r="I8" s="1"/>
      <c r="J8" s="1"/>
    </row>
    <row r="9" spans="2:14" x14ac:dyDescent="0.25">
      <c r="F9" s="1" t="s">
        <v>19</v>
      </c>
      <c r="G9" s="1">
        <f>C8*(1-C8) * (1/C7)*E2/ G4 * 1000000</f>
        <v>49.999999999999993</v>
      </c>
      <c r="J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Kosz (259588)</dc:creator>
  <cp:lastModifiedBy>Szymon Kosz (259588)</cp:lastModifiedBy>
  <dcterms:created xsi:type="dcterms:W3CDTF">2025-07-23T19:56:27Z</dcterms:created>
  <dcterms:modified xsi:type="dcterms:W3CDTF">2025-07-29T19:51:50Z</dcterms:modified>
</cp:coreProperties>
</file>